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2" fillId="0" borderId="0" pivotButton="0" quotePrefix="0" xfId="0"/>
    <xf numFmtId="4" fontId="2" fillId="0" borderId="1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8" customWidth="1" min="5" max="5"/>
    <col width="18" customWidth="1" min="6" max="6"/>
    <col width="8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КОММЕРЧЕСКОЕ ПРЕДЛОЖЕНИЕ</t>
        </is>
      </c>
    </row>
    <row r="2">
      <c r="A2" s="2" t="inlineStr">
        <is>
          <t>на запрос б/н от 21.06.2026 г.</t>
        </is>
      </c>
    </row>
    <row r="3">
      <c r="A3" t="inlineStr">
        <is>
          <t>ООО «Учтендер». ИНН 4727015060. КПП 472701001. ОГРН 125470001348</t>
        </is>
      </c>
    </row>
    <row r="4">
      <c r="A4" t="inlineStr">
        <is>
          <t>Ленинградская область, м.р-н Тихвинский, г.п. Тихвинское, г. Тихвин, ул Карла Маркса, д. 86д</t>
        </is>
      </c>
    </row>
    <row r="5">
      <c r="H5" s="3" t="n">
        <v>30</v>
      </c>
    </row>
    <row r="6">
      <c r="A6" s="4" t="inlineStr">
        <is>
          <t>№ п/п</t>
        </is>
      </c>
      <c r="B6" s="4" t="inlineStr">
        <is>
          <t>Наименование товара</t>
        </is>
      </c>
      <c r="C6" s="4" t="inlineStr">
        <is>
          <t>Ед. изм.</t>
        </is>
      </c>
      <c r="D6" s="4" t="inlineStr">
        <is>
          <t>Количество</t>
        </is>
      </c>
      <c r="E6" s="4" t="inlineStr">
        <is>
          <t>Цена, включая НДС 5%</t>
        </is>
      </c>
      <c r="F6" s="4" t="inlineStr">
        <is>
          <t>Стоимость, включая НДС 5%</t>
        </is>
      </c>
      <c r="G6" s="4" t="inlineStr">
        <is>
          <t>%</t>
        </is>
      </c>
      <c r="H6" s="4" t="inlineStr">
        <is>
          <t>цена пост</t>
        </is>
      </c>
      <c r="I6" s="4" t="inlineStr">
        <is>
          <t>стои пост</t>
        </is>
      </c>
      <c r="J6" s="4" t="inlineStr">
        <is>
          <t>Поставщик</t>
        </is>
      </c>
    </row>
    <row r="7">
      <c r="A7" s="5" t="n">
        <v>1</v>
      </c>
      <c r="B7" s="6" t="inlineStr">
        <is>
          <t>Модель почки (анатомическая демонстрационная)</t>
        </is>
      </c>
      <c r="C7" s="5" t="inlineStr">
        <is>
          <t>шт.</t>
        </is>
      </c>
      <c r="D7" s="5" t="n">
        <v>1</v>
      </c>
      <c r="E7" s="7">
        <f>H7+H7*G7%</f>
        <v/>
      </c>
      <c r="F7" s="7">
        <f>D7*E7</f>
        <v/>
      </c>
      <c r="G7" s="5">
        <f>$H$5</f>
        <v/>
      </c>
      <c r="H7" s="7" t="n">
        <v>2297</v>
      </c>
      <c r="I7" s="7">
        <f>D7*H7</f>
        <v/>
      </c>
      <c r="J7" s="6" t="inlineStr">
        <is>
          <t>ozon Retorsa</t>
        </is>
      </c>
    </row>
    <row r="8">
      <c r="A8" s="5" t="n">
        <v>2</v>
      </c>
      <c r="B8" s="6" t="inlineStr">
        <is>
          <t>Микроскоп бинокулярный *</t>
        </is>
      </c>
      <c r="C8" s="5" t="inlineStr">
        <is>
          <t>шт.</t>
        </is>
      </c>
      <c r="D8" s="5" t="n">
        <v>13</v>
      </c>
      <c r="E8" s="7">
        <f>H8+H8*G8%</f>
        <v/>
      </c>
      <c r="F8" s="7">
        <f>D8*E8</f>
        <v/>
      </c>
      <c r="G8" s="5">
        <f>$H$5</f>
        <v/>
      </c>
      <c r="H8" s="7" t="n">
        <v>5859</v>
      </c>
      <c r="I8" s="7">
        <f>D8*H8</f>
        <v/>
      </c>
      <c r="J8" s="6" t="inlineStr">
        <is>
          <t>ozon</t>
        </is>
      </c>
    </row>
    <row r="9">
      <c r="A9" s="8" t="inlineStr">
        <is>
          <t>Всего:</t>
        </is>
      </c>
      <c r="F9" s="9">
        <f>SUM(F7:F8)</f>
        <v/>
      </c>
      <c r="I9" s="9">
        <f>SUM(I7:I8)</f>
        <v/>
      </c>
    </row>
    <row r="11">
      <c r="B11" t="inlineStr">
        <is>
          <t>Условия оплаты: безналичный расчет</t>
        </is>
      </c>
    </row>
    <row r="12">
      <c r="B12" t="inlineStr">
        <is>
          <t>Срок поставки: 15 рабочих дней после получения денежных средств</t>
        </is>
      </c>
      <c r="H12" s="8" t="inlineStr">
        <is>
          <t>Налог</t>
        </is>
      </c>
      <c r="I12" s="10">
        <f>(F9-I9)*5%+F9/1.05*0.05</f>
        <v/>
      </c>
    </row>
    <row r="13">
      <c r="B13" t="inlineStr">
        <is>
          <t>Доставка: адресная доставка включена в стоимость</t>
        </is>
      </c>
      <c r="H13" s="8" t="inlineStr">
        <is>
          <t>Прибыль</t>
        </is>
      </c>
      <c r="I13" s="10">
        <f>F9-I12-I9</f>
        <v/>
      </c>
    </row>
    <row r="14">
      <c r="H14" s="8" t="inlineStr">
        <is>
          <t>Маржа</t>
        </is>
      </c>
      <c r="I14" s="11">
        <f>I13/(I9+I12)</f>
        <v/>
      </c>
    </row>
    <row r="16">
      <c r="A16" t="inlineStr">
        <is>
          <t>Генеральный директор</t>
        </is>
      </c>
    </row>
    <row r="17">
      <c r="A17" t="inlineStr">
        <is>
          <t>* — позиции, требующие проверки менеджером</t>
        </is>
      </c>
    </row>
  </sheetData>
  <mergeCells count="5">
    <mergeCell ref="A1:J1"/>
    <mergeCell ref="A17:J17"/>
    <mergeCell ref="A3:J3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2026-06-21T00:32:44Z</dcterms:created>
  <dcterms:modified xmlns:dcterms="http://purl.org/dc/terms/" xmlns:xsi="http://www.w3.org/2001/XMLSchema-instance" xsi:type="dcterms:W3CDTF">2026-06-21T00:32:44Z</dcterms:modified>
</cp:coreProperties>
</file>